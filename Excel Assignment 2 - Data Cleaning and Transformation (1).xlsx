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thi\Downloads\"/>
    </mc:Choice>
  </mc:AlternateContent>
  <xr:revisionPtr revIDLastSave="0" documentId="13_ncr:1_{7798CAE0-95B6-4C13-9A9E-1F750A994A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Workshee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G2" i="3"/>
  <c r="L6" i="3"/>
  <c r="L11" i="3"/>
  <c r="L10" i="3"/>
  <c r="L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</calcChain>
</file>

<file path=xl/sharedStrings.xml><?xml version="1.0" encoding="utf-8"?>
<sst xmlns="http://schemas.openxmlformats.org/spreadsheetml/2006/main" count="291" uniqueCount="121">
  <si>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</si>
  <si>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</si>
  <si>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</si>
  <si>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</si>
  <si>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</si>
  <si>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</si>
  <si>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</si>
  <si>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</si>
  <si>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</si>
  <si>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</si>
  <si>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</si>
  <si>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</si>
  <si>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</si>
  <si>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</si>
  <si>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</si>
  <si>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</si>
  <si>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</si>
  <si>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</si>
  <si>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</si>
  <si>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</si>
  <si>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</si>
  <si>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</si>
  <si>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</si>
  <si>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</si>
  <si>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</si>
  <si>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</si>
  <si>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</si>
  <si>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</si>
  <si>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</si>
  <si>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</si>
  <si>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</si>
  <si>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</si>
  <si>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</si>
  <si>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</si>
  <si>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</si>
  <si>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</si>
  <si>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</si>
  <si>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</si>
  <si>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</si>
  <si>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</si>
  <si>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</si>
  <si>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</si>
  <si>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</si>
  <si>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</si>
  <si>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</si>
  <si>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</si>
  <si>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</si>
  <si>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</si>
  <si>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</si>
  <si>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</si>
  <si>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</si>
  <si>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</si>
  <si>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</si>
  <si>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</si>
  <si>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</si>
  <si>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</si>
  <si>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</si>
  <si>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</si>
  <si>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</si>
  <si>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</si>
  <si>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</si>
  <si>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</si>
  <si>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</si>
  <si>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</si>
  <si>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</si>
  <si>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</si>
  <si>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</si>
  <si>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</si>
  <si>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</si>
  <si>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</si>
  <si>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</si>
  <si>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</si>
  <si>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</si>
  <si>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</si>
  <si>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</si>
  <si>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</si>
  <si>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</si>
  <si>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</si>
  <si>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</si>
  <si>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</si>
  <si>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</si>
  <si>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</si>
  <si>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</si>
  <si>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</si>
  <si>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</si>
  <si>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</si>
  <si>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</si>
  <si>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</si>
  <si>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</si>
  <si>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</si>
  <si>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</si>
  <si>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</si>
  <si>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</si>
  <si>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</si>
  <si>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</si>
  <si>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</si>
  <si>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</si>
  <si>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</si>
  <si>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</si>
  <si>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</si>
  <si>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</si>
  <si>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</si>
  <si>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</si>
  <si>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</si>
  <si>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</si>
  <si>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</si>
  <si>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</si>
  <si>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</si>
  <si>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</si>
  <si>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</si>
  <si>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</si>
  <si>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</si>
  <si>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</si>
  <si>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</si>
  <si>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</si>
  <si>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</si>
  <si>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</si>
  <si>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Headphone</t>
  </si>
  <si>
    <t>Product Brand</t>
  </si>
  <si>
    <t>Manufacturing Date(left)</t>
  </si>
  <si>
    <t>Manufacturing Date(DD-MM-YYYY)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</si>
</sst>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\-mm\-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8" fillId="0" borderId="0" xfId="0" applyFont="1"/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numFmt numFmtId="165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87B37-9D5E-4A80-8C37-D22F7B1B4262}" name="Table1" displayName="Table1" ref="A1:J32" totalsRowShown="0" headerRowDxfId="14" dataDxfId="13">
  <tableColumns count="10">
    <tableColumn id="1" xr3:uid="{A2F202B2-0579-4456-9C40-770B1B39689D}" name="Product ID" dataDxfId="12"/>
    <tableColumn id="10" xr3:uid="{0BD4179D-8E2F-493B-A3BB-01E524302564}" name="Manufacturing Date(left)" dataDxfId="4">
      <calculatedColumnFormula>LEFT(Table1[[#This Row],[Product ID]],6)</calculatedColumnFormula>
    </tableColumn>
    <tableColumn id="2" xr3:uid="{8D485394-234C-42C8-9004-5E4B4AB563BE}" name="Manufacturing Date(DD-MM-YYYY)" dataDxfId="11"/>
    <tableColumn id="3" xr3:uid="{C9B7B91D-10F3-44A0-8219-5526ABEA280B}" name="Country Code">
      <calculatedColumnFormula>RIGHT(A2,2)</calculatedColumnFormula>
    </tableColumn>
    <tableColumn id="4" xr3:uid="{FB401296-77C1-4D62-83B0-1E5FC84FF0FD}" name="Product Name" dataDxfId="10"/>
    <tableColumn id="5" xr3:uid="{DAA77F0A-541C-413D-88DE-8B204AC8368F}" name="Brand Name" dataDxfId="9"/>
    <tableColumn id="6" xr3:uid="{CF0A5C2F-8CD9-4CE6-A2C4-34DE7E866722}" name="Product Brand" dataDxfId="8">
      <calculatedColumnFormula>_xlfn.TEXTJOIN("-",,E2,F2)</calculatedColumnFormula>
    </tableColumn>
    <tableColumn id="7" xr3:uid="{6C7FC68E-6EA6-40B1-974B-5ED4F635905A}" name="Price ($)" dataDxfId="7"/>
    <tableColumn id="8" xr3:uid="{D0F2D9F4-57A7-4544-ADB8-5047CF25C9C0}" name="Quantity" dataDxfId="6"/>
    <tableColumn id="9" xr3:uid="{85DE5FC8-BE01-40EC-B0E0-51F0CE9C4BAF}" name="Categor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8" sqref="C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C4" sqref="C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F731-7E01-46CD-9EB8-5A35DF186F9B}">
  <dimension ref="A1:M32"/>
  <sheetViews>
    <sheetView tabSelected="1" workbookViewId="0">
      <selection activeCell="C2" sqref="C2"/>
    </sheetView>
  </sheetViews>
  <sheetFormatPr defaultRowHeight="13.2" x14ac:dyDescent="0.25"/>
  <cols>
    <col min="1" max="1" width="14.77734375" bestFit="1" customWidth="1"/>
    <col min="2" max="2" width="22.33203125" bestFit="1" customWidth="1"/>
    <col min="3" max="3" width="31.21875" bestFit="1" customWidth="1"/>
    <col min="4" max="4" width="17.77734375" bestFit="1" customWidth="1"/>
    <col min="5" max="5" width="18.21875" customWidth="1"/>
    <col min="6" max="6" width="16.21875" bestFit="1" customWidth="1"/>
    <col min="7" max="7" width="21.5546875" bestFit="1" customWidth="1"/>
    <col min="8" max="8" width="12.77734375" style="12" bestFit="1" customWidth="1"/>
    <col min="9" max="9" width="12.88671875" bestFit="1" customWidth="1"/>
    <col min="10" max="10" width="13.44140625" bestFit="1" customWidth="1"/>
    <col min="12" max="12" width="9.109375" bestFit="1" customWidth="1"/>
    <col min="13" max="13" width="12" bestFit="1" customWidth="1"/>
  </cols>
  <sheetData>
    <row r="1" spans="1:13" x14ac:dyDescent="0.25">
      <c r="A1" s="7" t="s">
        <v>19</v>
      </c>
      <c r="B1" s="16" t="s">
        <v>119</v>
      </c>
      <c r="C1" s="16" t="s">
        <v>120</v>
      </c>
      <c r="D1" s="7" t="s">
        <v>116</v>
      </c>
      <c r="E1" s="7" t="s">
        <v>20</v>
      </c>
      <c r="F1" s="7" t="s">
        <v>21</v>
      </c>
      <c r="G1" s="7" t="s">
        <v>118</v>
      </c>
      <c r="H1" s="9" t="s">
        <v>22</v>
      </c>
      <c r="I1" s="7" t="s">
        <v>23</v>
      </c>
      <c r="J1" s="7" t="s">
        <v>24</v>
      </c>
    </row>
    <row r="2" spans="1:13" x14ac:dyDescent="0.25">
      <c r="A2" s="5" t="s">
        <v>25</v>
      </c>
      <c r="B2" s="5" t="str">
        <f>LEFT(Table1[[#This Row],[Product ID]],6)</f>
        <v>28-JAN</v>
      </c>
      <c r="C2" s="13">
        <v>46050</v>
      </c>
      <c r="D2" t="str">
        <f>RIGHT(A2,2)</f>
        <v>US</v>
      </c>
      <c r="E2" s="5" t="s">
        <v>61</v>
      </c>
      <c r="F2" s="5" t="s">
        <v>27</v>
      </c>
      <c r="G2" s="5" t="str">
        <f t="shared" ref="G2:G32" si="0">_xlfn.TEXTJOIN("-",,E2,F2)</f>
        <v>Laptop-Dell</v>
      </c>
      <c r="H2" s="10">
        <v>1000</v>
      </c>
      <c r="I2" s="5">
        <v>30</v>
      </c>
      <c r="J2" s="5" t="s">
        <v>28</v>
      </c>
    </row>
    <row r="3" spans="1:13" x14ac:dyDescent="0.25">
      <c r="A3" s="8" t="s">
        <v>29</v>
      </c>
      <c r="B3" s="8" t="str">
        <f>LEFT(Table1[[#This Row],[Product ID]],6)</f>
        <v>15-FEB</v>
      </c>
      <c r="C3" s="13">
        <v>46068</v>
      </c>
      <c r="D3" t="str">
        <f t="shared" ref="D3:D32" si="1">RIGHT(A3,2)</f>
        <v>US</v>
      </c>
      <c r="E3" s="8" t="s">
        <v>30</v>
      </c>
      <c r="F3" s="8" t="s">
        <v>31</v>
      </c>
      <c r="G3" s="5" t="str">
        <f t="shared" si="0"/>
        <v>Sneakers-Nike</v>
      </c>
      <c r="H3" s="11">
        <v>80</v>
      </c>
      <c r="I3" s="8">
        <v>15</v>
      </c>
      <c r="J3" s="8" t="s">
        <v>32</v>
      </c>
    </row>
    <row r="4" spans="1:13" x14ac:dyDescent="0.25">
      <c r="A4" s="5" t="s">
        <v>33</v>
      </c>
      <c r="B4" s="5" t="str">
        <f>LEFT(Table1[[#This Row],[Product ID]],6)</f>
        <v>03-MAR</v>
      </c>
      <c r="C4" s="13">
        <v>46084</v>
      </c>
      <c r="D4" t="str">
        <f t="shared" si="1"/>
        <v>US</v>
      </c>
      <c r="E4" s="5" t="s">
        <v>34</v>
      </c>
      <c r="F4" s="5" t="s">
        <v>35</v>
      </c>
      <c r="G4" s="5" t="str">
        <f t="shared" si="0"/>
        <v>Coffee Maker-Keurig</v>
      </c>
      <c r="H4" s="10">
        <v>130</v>
      </c>
      <c r="I4" s="5">
        <v>40</v>
      </c>
      <c r="J4" s="5" t="s">
        <v>36</v>
      </c>
      <c r="L4" s="12">
        <v>8340</v>
      </c>
    </row>
    <row r="5" spans="1:13" x14ac:dyDescent="0.25">
      <c r="A5" s="8" t="s">
        <v>37</v>
      </c>
      <c r="B5" s="8" t="str">
        <f>LEFT(Table1[[#This Row],[Product ID]],6)</f>
        <v>11-APR</v>
      </c>
      <c r="C5" s="13">
        <v>46123</v>
      </c>
      <c r="D5" t="str">
        <f t="shared" si="1"/>
        <v>US</v>
      </c>
      <c r="E5" s="8" t="s">
        <v>96</v>
      </c>
      <c r="F5" s="8" t="s">
        <v>39</v>
      </c>
      <c r="G5" s="5" t="str">
        <f t="shared" si="0"/>
        <v>Smartphone-Samsung</v>
      </c>
      <c r="H5" s="11">
        <v>900</v>
      </c>
      <c r="I5" s="8">
        <v>25</v>
      </c>
      <c r="J5" s="8" t="s">
        <v>28</v>
      </c>
      <c r="L5">
        <v>28</v>
      </c>
    </row>
    <row r="6" spans="1:13" x14ac:dyDescent="0.25">
      <c r="A6" s="5" t="s">
        <v>40</v>
      </c>
      <c r="B6" s="5" t="str">
        <f>LEFT(Table1[[#This Row],[Product ID]],6)</f>
        <v>22-MAY</v>
      </c>
      <c r="C6" s="13">
        <v>46164</v>
      </c>
      <c r="D6" t="str">
        <f t="shared" si="1"/>
        <v>US</v>
      </c>
      <c r="E6" s="5" t="s">
        <v>41</v>
      </c>
      <c r="F6" s="5" t="s">
        <v>42</v>
      </c>
      <c r="G6" s="5" t="str">
        <f t="shared" si="0"/>
        <v>Backpack-North Face</v>
      </c>
      <c r="H6" s="10">
        <v>70</v>
      </c>
      <c r="I6" s="5">
        <v>20</v>
      </c>
      <c r="J6" s="5" t="s">
        <v>32</v>
      </c>
      <c r="L6" s="14">
        <f>AVERAGE(L4/L5)</f>
        <v>297.85714285714283</v>
      </c>
    </row>
    <row r="7" spans="1:13" x14ac:dyDescent="0.25">
      <c r="A7" s="8" t="s">
        <v>43</v>
      </c>
      <c r="B7" s="8" t="str">
        <f>LEFT(Table1[[#This Row],[Product ID]],6)</f>
        <v>07-JUN</v>
      </c>
      <c r="C7" s="13">
        <v>46180</v>
      </c>
      <c r="D7" t="str">
        <f t="shared" si="1"/>
        <v>UK</v>
      </c>
      <c r="E7" s="8" t="s">
        <v>117</v>
      </c>
      <c r="F7" s="8" t="s">
        <v>45</v>
      </c>
      <c r="G7" s="5" t="str">
        <f t="shared" si="0"/>
        <v>Headphone-Sony</v>
      </c>
      <c r="H7" s="11">
        <v>297.8571</v>
      </c>
      <c r="I7" s="8">
        <v>45</v>
      </c>
      <c r="J7" s="8" t="s">
        <v>28</v>
      </c>
    </row>
    <row r="8" spans="1:13" x14ac:dyDescent="0.25">
      <c r="A8" s="5" t="s">
        <v>47</v>
      </c>
      <c r="B8" t="str">
        <f>LEFT(Table1[[#This Row],[Product ID]],6)</f>
        <v>19-JUL</v>
      </c>
      <c r="C8" s="13">
        <v>46222</v>
      </c>
      <c r="D8" t="str">
        <f t="shared" si="1"/>
        <v>UK</v>
      </c>
      <c r="E8" s="5" t="s">
        <v>48</v>
      </c>
      <c r="F8" s="5" t="s">
        <v>49</v>
      </c>
      <c r="G8" s="5" t="str">
        <f t="shared" si="0"/>
        <v>T-shirt-Adidas</v>
      </c>
      <c r="H8" s="10">
        <v>30</v>
      </c>
      <c r="I8" s="5">
        <v>5</v>
      </c>
      <c r="J8" s="5" t="s">
        <v>32</v>
      </c>
    </row>
    <row r="9" spans="1:13" x14ac:dyDescent="0.25">
      <c r="A9" s="8" t="s">
        <v>50</v>
      </c>
      <c r="B9" s="8" t="str">
        <f>LEFT(Table1[[#This Row],[Product ID]],6)</f>
        <v>23-AUG</v>
      </c>
      <c r="C9" s="13">
        <v>46257</v>
      </c>
      <c r="D9" t="str">
        <f t="shared" si="1"/>
        <v>UK</v>
      </c>
      <c r="E9" s="8" t="s">
        <v>51</v>
      </c>
      <c r="F9" s="8" t="s">
        <v>52</v>
      </c>
      <c r="G9" s="5" t="str">
        <f t="shared" si="0"/>
        <v>Blender-Ninja</v>
      </c>
      <c r="H9" s="11">
        <v>90</v>
      </c>
      <c r="I9" s="8">
        <v>35</v>
      </c>
      <c r="J9" s="8" t="s">
        <v>36</v>
      </c>
      <c r="L9">
        <f>SUM(Table1[Price ($)])</f>
        <v>9233.5712999999996</v>
      </c>
    </row>
    <row r="10" spans="1:13" x14ac:dyDescent="0.25">
      <c r="A10" s="5" t="s">
        <v>53</v>
      </c>
      <c r="B10" s="5" t="str">
        <f>LEFT(Table1[[#This Row],[Product ID]],6)</f>
        <v>05-SEP</v>
      </c>
      <c r="C10" s="13">
        <v>46270</v>
      </c>
      <c r="D10" t="str">
        <f t="shared" si="1"/>
        <v>UK</v>
      </c>
      <c r="E10" s="5" t="s">
        <v>54</v>
      </c>
      <c r="F10" s="5" t="s">
        <v>55</v>
      </c>
      <c r="G10" s="5" t="str">
        <f t="shared" si="0"/>
        <v>Tablet-Apple</v>
      </c>
      <c r="H10" s="10">
        <v>500</v>
      </c>
      <c r="I10" s="5">
        <v>50</v>
      </c>
      <c r="J10" s="5" t="s">
        <v>28</v>
      </c>
      <c r="L10">
        <f>COUNT(Table1[Price ($)])</f>
        <v>31</v>
      </c>
    </row>
    <row r="11" spans="1:13" x14ac:dyDescent="0.25">
      <c r="A11" s="8" t="s">
        <v>56</v>
      </c>
      <c r="B11" s="8" t="str">
        <f>LEFT(Table1[[#This Row],[Product ID]],6)</f>
        <v>14-OCT</v>
      </c>
      <c r="C11" s="13">
        <v>46309</v>
      </c>
      <c r="D11" t="str">
        <f t="shared" si="1"/>
        <v>UK</v>
      </c>
      <c r="E11" s="8" t="s">
        <v>57</v>
      </c>
      <c r="F11" s="8" t="s">
        <v>58</v>
      </c>
      <c r="G11" s="5" t="str">
        <f t="shared" si="0"/>
        <v>Hiking Boots-Timberland</v>
      </c>
      <c r="H11" s="11">
        <v>130</v>
      </c>
      <c r="I11" s="8">
        <v>10</v>
      </c>
      <c r="J11" s="8" t="s">
        <v>59</v>
      </c>
      <c r="L11" s="14">
        <f>AVERAGE(Table1[Price ($)])</f>
        <v>297.85713870967743</v>
      </c>
    </row>
    <row r="12" spans="1:13" x14ac:dyDescent="0.25">
      <c r="A12" s="5" t="s">
        <v>60</v>
      </c>
      <c r="B12" s="5" t="str">
        <f>LEFT(Table1[[#This Row],[Product ID]],6)</f>
        <v>17-JUN</v>
      </c>
      <c r="C12" s="13">
        <v>46190</v>
      </c>
      <c r="D12" t="str">
        <f t="shared" si="1"/>
        <v>IN</v>
      </c>
      <c r="E12" s="5" t="s">
        <v>61</v>
      </c>
      <c r="F12" s="5" t="s">
        <v>62</v>
      </c>
      <c r="G12" s="5" t="str">
        <f t="shared" si="0"/>
        <v>Laptop-HP</v>
      </c>
      <c r="H12" s="10">
        <v>950</v>
      </c>
      <c r="I12" s="5">
        <v>25</v>
      </c>
      <c r="J12" s="5" t="s">
        <v>28</v>
      </c>
    </row>
    <row r="13" spans="1:13" x14ac:dyDescent="0.25">
      <c r="A13" s="8" t="s">
        <v>63</v>
      </c>
      <c r="B13" s="8" t="str">
        <f>LEFT(Table1[[#This Row],[Product ID]],6)</f>
        <v>25-NOV</v>
      </c>
      <c r="C13" s="13">
        <v>46351</v>
      </c>
      <c r="D13" t="str">
        <f t="shared" si="1"/>
        <v>AU</v>
      </c>
      <c r="E13" s="8" t="s">
        <v>30</v>
      </c>
      <c r="F13" s="8" t="s">
        <v>49</v>
      </c>
      <c r="G13" s="5" t="str">
        <f t="shared" si="0"/>
        <v>Sneakers-Adidas</v>
      </c>
      <c r="H13" s="11">
        <v>90</v>
      </c>
      <c r="I13" s="8">
        <v>40</v>
      </c>
      <c r="J13" s="8" t="s">
        <v>32</v>
      </c>
    </row>
    <row r="14" spans="1:13" x14ac:dyDescent="0.25">
      <c r="A14" s="5" t="s">
        <v>64</v>
      </c>
      <c r="B14" s="5" t="str">
        <f>LEFT(Table1[[#This Row],[Product ID]],6)</f>
        <v>08-DEC</v>
      </c>
      <c r="C14" s="13">
        <v>46364</v>
      </c>
      <c r="D14" t="str">
        <f t="shared" si="1"/>
        <v>DE</v>
      </c>
      <c r="E14" s="5" t="s">
        <v>34</v>
      </c>
      <c r="F14" s="5" t="s">
        <v>65</v>
      </c>
      <c r="G14" s="5" t="str">
        <f t="shared" si="0"/>
        <v>Coffee Maker-Nespresso</v>
      </c>
      <c r="H14" s="10">
        <v>120</v>
      </c>
      <c r="I14" s="5">
        <v>35</v>
      </c>
      <c r="J14" s="5" t="s">
        <v>36</v>
      </c>
    </row>
    <row r="15" spans="1:13" x14ac:dyDescent="0.25">
      <c r="A15" s="8" t="s">
        <v>66</v>
      </c>
      <c r="B15" s="8" t="str">
        <f>LEFT(Table1[[#This Row],[Product ID]],6)</f>
        <v>18-FEB</v>
      </c>
      <c r="C15" s="13">
        <v>46071</v>
      </c>
      <c r="D15" t="str">
        <f t="shared" si="1"/>
        <v>CA</v>
      </c>
      <c r="E15" s="8" t="s">
        <v>67</v>
      </c>
      <c r="F15" s="8" t="s">
        <v>68</v>
      </c>
      <c r="G15" s="5" t="str">
        <f t="shared" si="0"/>
        <v>Smartwatch-Fitbit</v>
      </c>
      <c r="H15" s="11">
        <v>150</v>
      </c>
      <c r="I15" s="8">
        <v>15</v>
      </c>
      <c r="J15" s="8" t="s">
        <v>28</v>
      </c>
      <c r="M15" s="15"/>
    </row>
    <row r="16" spans="1:13" x14ac:dyDescent="0.25">
      <c r="A16" s="5" t="s">
        <v>69</v>
      </c>
      <c r="B16" s="5" t="str">
        <f>LEFT(Table1[[#This Row],[Product ID]],6)</f>
        <v>16-APR</v>
      </c>
      <c r="C16" s="13">
        <v>46128</v>
      </c>
      <c r="D16" t="str">
        <f t="shared" si="1"/>
        <v>ES</v>
      </c>
      <c r="E16" s="5" t="s">
        <v>117</v>
      </c>
      <c r="F16" s="5" t="s">
        <v>71</v>
      </c>
      <c r="G16" s="5" t="str">
        <f t="shared" si="0"/>
        <v>Headphone-Bose</v>
      </c>
      <c r="H16" s="10">
        <v>250</v>
      </c>
      <c r="I16" s="5">
        <v>20</v>
      </c>
      <c r="J16" s="5" t="s">
        <v>28</v>
      </c>
    </row>
    <row r="17" spans="1:10" x14ac:dyDescent="0.25">
      <c r="A17" s="8" t="s">
        <v>72</v>
      </c>
      <c r="B17" s="8" t="str">
        <f>LEFT(Table1[[#This Row],[Product ID]],6)</f>
        <v>21-AUG</v>
      </c>
      <c r="C17" s="13">
        <v>46255</v>
      </c>
      <c r="D17" t="str">
        <f t="shared" si="1"/>
        <v>CA</v>
      </c>
      <c r="E17" s="8" t="s">
        <v>73</v>
      </c>
      <c r="F17" s="8" t="s">
        <v>74</v>
      </c>
      <c r="G17" s="5" t="str">
        <f t="shared" si="0"/>
        <v>Laptop Bag-Samsonite</v>
      </c>
      <c r="H17" s="11">
        <v>50</v>
      </c>
      <c r="I17" s="8">
        <v>35</v>
      </c>
      <c r="J17" s="8" t="s">
        <v>75</v>
      </c>
    </row>
    <row r="18" spans="1:10" x14ac:dyDescent="0.25">
      <c r="A18" s="5" t="s">
        <v>76</v>
      </c>
      <c r="B18" s="5" t="str">
        <f>LEFT(Table1[[#This Row],[Product ID]],6)</f>
        <v>20-AUG</v>
      </c>
      <c r="C18" s="13">
        <v>46254</v>
      </c>
      <c r="D18" t="str">
        <f t="shared" si="1"/>
        <v>CN</v>
      </c>
      <c r="E18" s="5" t="s">
        <v>67</v>
      </c>
      <c r="F18" s="5" t="s">
        <v>77</v>
      </c>
      <c r="G18" s="5" t="str">
        <f t="shared" si="0"/>
        <v>Smartwatch-Huawei</v>
      </c>
      <c r="H18" s="10">
        <v>160</v>
      </c>
      <c r="I18" s="5">
        <v>15</v>
      </c>
      <c r="J18" s="5" t="s">
        <v>28</v>
      </c>
    </row>
    <row r="19" spans="1:10" x14ac:dyDescent="0.25">
      <c r="A19" s="8" t="s">
        <v>78</v>
      </c>
      <c r="B19" s="8" t="str">
        <f>LEFT(Table1[[#This Row],[Product ID]],6)</f>
        <v>27-JAN</v>
      </c>
      <c r="C19" s="13">
        <v>46049</v>
      </c>
      <c r="D19" t="str">
        <f t="shared" si="1"/>
        <v>IT</v>
      </c>
      <c r="E19" s="8" t="s">
        <v>61</v>
      </c>
      <c r="F19" s="8" t="s">
        <v>79</v>
      </c>
      <c r="G19" s="5" t="str">
        <f t="shared" si="0"/>
        <v>Laptop-Asus</v>
      </c>
      <c r="H19" s="11">
        <v>980</v>
      </c>
      <c r="I19" s="8">
        <v>10</v>
      </c>
      <c r="J19" s="8" t="s">
        <v>28</v>
      </c>
    </row>
    <row r="20" spans="1:10" x14ac:dyDescent="0.25">
      <c r="A20" s="5" t="s">
        <v>80</v>
      </c>
      <c r="B20" s="5" t="str">
        <f>LEFT(Table1[[#This Row],[Product ID]],6)</f>
        <v>01-MAR</v>
      </c>
      <c r="C20" s="13">
        <v>46082</v>
      </c>
      <c r="D20" t="str">
        <f t="shared" si="1"/>
        <v>UK</v>
      </c>
      <c r="E20" s="5" t="s">
        <v>81</v>
      </c>
      <c r="F20" s="5" t="s">
        <v>82</v>
      </c>
      <c r="G20" s="5" t="str">
        <f t="shared" si="0"/>
        <v>Sunglasses-Oakley</v>
      </c>
      <c r="H20" s="10">
        <v>150</v>
      </c>
      <c r="I20" s="5">
        <v>15</v>
      </c>
      <c r="J20" s="5" t="s">
        <v>32</v>
      </c>
    </row>
    <row r="21" spans="1:10" x14ac:dyDescent="0.25">
      <c r="A21" s="8" t="s">
        <v>83</v>
      </c>
      <c r="B21" s="8" t="str">
        <f>LEFT(Table1[[#This Row],[Product ID]],6)</f>
        <v>14-AUG</v>
      </c>
      <c r="C21" s="13">
        <v>46248</v>
      </c>
      <c r="D21" t="str">
        <f t="shared" si="1"/>
        <v>US</v>
      </c>
      <c r="E21" s="8" t="s">
        <v>84</v>
      </c>
      <c r="F21" s="8" t="s">
        <v>85</v>
      </c>
      <c r="G21" s="5" t="str">
        <f t="shared" si="0"/>
        <v>Camping Tent-Coleman</v>
      </c>
      <c r="H21" s="11">
        <v>297.8571</v>
      </c>
      <c r="I21" s="8">
        <v>10</v>
      </c>
      <c r="J21" s="8" t="s">
        <v>59</v>
      </c>
    </row>
    <row r="22" spans="1:10" x14ac:dyDescent="0.25">
      <c r="A22" s="5" t="s">
        <v>86</v>
      </c>
      <c r="B22" s="5" t="str">
        <f>LEFT(Table1[[#This Row],[Product ID]],6)</f>
        <v>14-MAY</v>
      </c>
      <c r="C22" s="13">
        <v>46156</v>
      </c>
      <c r="D22" t="str">
        <f t="shared" si="1"/>
        <v>RU</v>
      </c>
      <c r="E22" s="5" t="s">
        <v>87</v>
      </c>
      <c r="F22" s="5" t="s">
        <v>88</v>
      </c>
      <c r="G22" s="5" t="str">
        <f t="shared" si="0"/>
        <v>Camera-Nikon</v>
      </c>
      <c r="H22" s="10">
        <v>700</v>
      </c>
      <c r="I22" s="5">
        <v>50</v>
      </c>
      <c r="J22" s="5" t="s">
        <v>28</v>
      </c>
    </row>
    <row r="23" spans="1:10" x14ac:dyDescent="0.25">
      <c r="A23" s="8" t="s">
        <v>89</v>
      </c>
      <c r="B23" s="8" t="str">
        <f>LEFT(Table1[[#This Row],[Product ID]],6)</f>
        <v>09-JAN</v>
      </c>
      <c r="C23" s="13">
        <v>46031</v>
      </c>
      <c r="D23" t="str">
        <f t="shared" si="1"/>
        <v>CA</v>
      </c>
      <c r="E23" s="8" t="s">
        <v>90</v>
      </c>
      <c r="F23" s="8" t="s">
        <v>91</v>
      </c>
      <c r="G23" s="5" t="str">
        <f t="shared" si="0"/>
        <v>Microwave-Panasonic</v>
      </c>
      <c r="H23" s="11">
        <v>80</v>
      </c>
      <c r="I23" s="8">
        <v>20</v>
      </c>
      <c r="J23" s="8" t="s">
        <v>36</v>
      </c>
    </row>
    <row r="24" spans="1:10" x14ac:dyDescent="0.25">
      <c r="A24" s="5" t="s">
        <v>92</v>
      </c>
      <c r="B24" s="5" t="str">
        <f>LEFT(Table1[[#This Row],[Product ID]],6)</f>
        <v>19-JUL</v>
      </c>
      <c r="C24" s="13">
        <v>46222</v>
      </c>
      <c r="D24" t="str">
        <f t="shared" si="1"/>
        <v>BR</v>
      </c>
      <c r="E24" s="5" t="s">
        <v>93</v>
      </c>
      <c r="F24" s="5" t="s">
        <v>94</v>
      </c>
      <c r="G24" s="5" t="str">
        <f t="shared" si="0"/>
        <v>Fitness Tracker-Xiaomi</v>
      </c>
      <c r="H24" s="10">
        <v>150</v>
      </c>
      <c r="I24" s="5">
        <v>30</v>
      </c>
      <c r="J24" s="5" t="s">
        <v>28</v>
      </c>
    </row>
    <row r="25" spans="1:10" x14ac:dyDescent="0.25">
      <c r="A25" s="5" t="s">
        <v>95</v>
      </c>
      <c r="B25" s="5" t="str">
        <f>LEFT(Table1[[#This Row],[Product ID]],6)</f>
        <v>29-SEP</v>
      </c>
      <c r="C25" s="13">
        <v>46294</v>
      </c>
      <c r="D25" t="str">
        <f t="shared" si="1"/>
        <v>CA</v>
      </c>
      <c r="E25" s="5" t="s">
        <v>96</v>
      </c>
      <c r="F25" s="5" t="s">
        <v>97</v>
      </c>
      <c r="G25" s="5" t="str">
        <f t="shared" si="0"/>
        <v>Smartphone-Google</v>
      </c>
      <c r="H25" s="10">
        <v>800</v>
      </c>
      <c r="I25" s="5">
        <v>45</v>
      </c>
      <c r="J25" s="5" t="s">
        <v>28</v>
      </c>
    </row>
    <row r="26" spans="1:10" x14ac:dyDescent="0.25">
      <c r="A26" s="8" t="s">
        <v>98</v>
      </c>
      <c r="B26" s="8" t="str">
        <f>LEFT(Table1[[#This Row],[Product ID]],6)</f>
        <v>03-JUN</v>
      </c>
      <c r="C26" s="13">
        <v>46176</v>
      </c>
      <c r="D26" t="str">
        <f t="shared" si="1"/>
        <v>CA</v>
      </c>
      <c r="E26" s="8" t="s">
        <v>81</v>
      </c>
      <c r="F26" s="8" t="s">
        <v>99</v>
      </c>
      <c r="G26" s="5" t="str">
        <f t="shared" si="0"/>
        <v>Sunglasses-Ray-Ban</v>
      </c>
      <c r="H26" s="11">
        <v>297.8571</v>
      </c>
      <c r="I26" s="8">
        <v>25</v>
      </c>
      <c r="J26" s="8" t="s">
        <v>32</v>
      </c>
    </row>
    <row r="27" spans="1:10" x14ac:dyDescent="0.25">
      <c r="A27" s="5" t="s">
        <v>100</v>
      </c>
      <c r="B27" s="5" t="str">
        <f>LEFT(Table1[[#This Row],[Product ID]],6)</f>
        <v>11-JUL</v>
      </c>
      <c r="C27" s="13">
        <v>46214</v>
      </c>
      <c r="D27" t="str">
        <f t="shared" si="1"/>
        <v>CA</v>
      </c>
      <c r="E27" s="5" t="s">
        <v>51</v>
      </c>
      <c r="F27" s="5" t="s">
        <v>101</v>
      </c>
      <c r="G27" s="5" t="str">
        <f t="shared" si="0"/>
        <v>Blender-Vitamix</v>
      </c>
      <c r="H27" s="10">
        <v>400</v>
      </c>
      <c r="I27" s="5">
        <v>40</v>
      </c>
      <c r="J27" s="5" t="s">
        <v>36</v>
      </c>
    </row>
    <row r="28" spans="1:10" x14ac:dyDescent="0.25">
      <c r="A28" s="5" t="s">
        <v>102</v>
      </c>
      <c r="B28" s="5" t="str">
        <f>LEFT(Table1[[#This Row],[Product ID]],6)</f>
        <v>07-MAR</v>
      </c>
      <c r="C28" s="13">
        <v>46088</v>
      </c>
      <c r="D28" t="str">
        <f t="shared" si="1"/>
        <v>CA</v>
      </c>
      <c r="E28" s="5" t="s">
        <v>103</v>
      </c>
      <c r="F28" s="5" t="s">
        <v>104</v>
      </c>
      <c r="G28" s="5" t="str">
        <f t="shared" si="0"/>
        <v>Dress-Zara</v>
      </c>
      <c r="H28" s="10">
        <v>60</v>
      </c>
      <c r="I28" s="5">
        <v>30</v>
      </c>
      <c r="J28" s="5" t="s">
        <v>32</v>
      </c>
    </row>
    <row r="29" spans="1:10" x14ac:dyDescent="0.25">
      <c r="A29" s="8" t="s">
        <v>105</v>
      </c>
      <c r="B29" s="8" t="str">
        <f>LEFT(Table1[[#This Row],[Product ID]],6)</f>
        <v>13-APR</v>
      </c>
      <c r="C29" s="13">
        <v>46125</v>
      </c>
      <c r="D29" t="str">
        <f t="shared" si="1"/>
        <v>CA</v>
      </c>
      <c r="E29" s="8" t="s">
        <v>106</v>
      </c>
      <c r="F29" s="8" t="s">
        <v>107</v>
      </c>
      <c r="G29" s="5" t="str">
        <f t="shared" si="0"/>
        <v>Toaster-Hamilton</v>
      </c>
      <c r="H29" s="11">
        <v>40</v>
      </c>
      <c r="I29" s="8">
        <v>10</v>
      </c>
      <c r="J29" s="8" t="s">
        <v>36</v>
      </c>
    </row>
    <row r="30" spans="1:10" x14ac:dyDescent="0.25">
      <c r="A30" s="5" t="s">
        <v>108</v>
      </c>
      <c r="B30" s="5" t="str">
        <f>LEFT(Table1[[#This Row],[Product ID]],6)</f>
        <v>24-MAY</v>
      </c>
      <c r="C30" s="13">
        <v>46166</v>
      </c>
      <c r="D30" t="str">
        <f t="shared" si="1"/>
        <v>CA</v>
      </c>
      <c r="E30" s="5" t="s">
        <v>93</v>
      </c>
      <c r="F30" s="5" t="s">
        <v>109</v>
      </c>
      <c r="G30" s="5" t="str">
        <f t="shared" si="0"/>
        <v>Fitness Tracker-Garmin</v>
      </c>
      <c r="H30" s="10">
        <v>130</v>
      </c>
      <c r="I30" s="5">
        <v>5</v>
      </c>
      <c r="J30" s="5" t="s">
        <v>28</v>
      </c>
    </row>
    <row r="31" spans="1:10" x14ac:dyDescent="0.25">
      <c r="A31" s="8" t="s">
        <v>110</v>
      </c>
      <c r="B31" s="8" t="str">
        <f>LEFT(Table1[[#This Row],[Product ID]],6)</f>
        <v>02-DEC</v>
      </c>
      <c r="C31" s="13">
        <v>46358</v>
      </c>
      <c r="D31" t="str">
        <f t="shared" si="1"/>
        <v>CA</v>
      </c>
      <c r="E31" s="8" t="s">
        <v>111</v>
      </c>
      <c r="F31" s="8" t="s">
        <v>112</v>
      </c>
      <c r="G31" s="5" t="str">
        <f t="shared" si="0"/>
        <v>Jeans-Levi's</v>
      </c>
      <c r="H31" s="11">
        <v>50</v>
      </c>
      <c r="I31" s="8">
        <v>50</v>
      </c>
      <c r="J31" s="8" t="s">
        <v>32</v>
      </c>
    </row>
    <row r="32" spans="1:10" x14ac:dyDescent="0.25">
      <c r="A32" s="8" t="s">
        <v>113</v>
      </c>
      <c r="B32" s="8" t="str">
        <f>LEFT(Table1[[#This Row],[Product ID]],6)</f>
        <v>09-JUL</v>
      </c>
      <c r="C32" s="13">
        <v>46212</v>
      </c>
      <c r="D32" t="str">
        <f t="shared" si="1"/>
        <v>FR</v>
      </c>
      <c r="E32" s="8" t="s">
        <v>114</v>
      </c>
      <c r="F32" s="8" t="s">
        <v>115</v>
      </c>
      <c r="G32" s="5" t="str">
        <f t="shared" si="0"/>
        <v>Watch-Casio</v>
      </c>
      <c r="H32" s="11">
        <v>100</v>
      </c>
      <c r="I32" s="8">
        <v>20</v>
      </c>
      <c r="J32" s="8" t="s">
        <v>75</v>
      </c>
    </row>
  </sheetData>
  <conditionalFormatting sqref="A2:B7 A9:B32 A8">
    <cfRule type="duplicateValues" dxfId="3" priority="3"/>
  </conditionalFormatting>
  <conditionalFormatting sqref="H1:H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{7C8F4ABF-D7A3-495A-B6AC-895D9E53295D}</x14:id>
        </ext>
      </extLst>
    </cfRule>
  </conditionalFormatting>
  <conditionalFormatting sqref="J1:J32 J36:J1048576">
    <cfRule type="top10" dxfId="2" priority="5" rank="1"/>
    <cfRule type="top10" dxfId="1" priority="6" rank="1"/>
  </conditionalFormatting>
  <conditionalFormatting sqref="J1:J1048576">
    <cfRule type="containsText" dxfId="0" priority="1" operator="containsText" text="Electronics">
      <formula>NOT(ISERROR(SEARCH("Electronics",J1)))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F4ABF-D7A3-495A-B6AC-895D9E5329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91F3-6553-40C4-AA2D-14CC54813CAF}">
  <dimension ref="A1"/>
  <sheetViews>
    <sheetView workbookViewId="0">
      <selection activeCell="F2" sqref="F2"/>
    </sheetView>
  </sheetViews>
  <sheetFormatPr defaultRowHeight="13.2" x14ac:dyDescent="0.25"/>
  <cols>
    <col min="6" max="6" width="2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Rumana</cp:lastModifiedBy>
  <dcterms:modified xsi:type="dcterms:W3CDTF">2026-10-22T06:02:53Z</dcterms:modified>
</cp:coreProperties>
</file>